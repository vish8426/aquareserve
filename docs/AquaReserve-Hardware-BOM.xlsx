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shant\Career\Quantic\Capstone Project\aquareserve\docs\"/>
    </mc:Choice>
  </mc:AlternateContent>
  <xr:revisionPtr revIDLastSave="0" documentId="13_ncr:1_{56ED33C3-FE02-4CDE-AEC9-91A9D9786C42}" xr6:coauthVersionLast="47" xr6:coauthVersionMax="47" xr10:uidLastSave="{00000000-0000-0000-0000-000000000000}"/>
  <bookViews>
    <workbookView xWindow="-120" yWindow="-120" windowWidth="38640" windowHeight="21390" tabRatio="500" xr2:uid="{00000000-000D-0000-FFFF-FFFF00000000}"/>
  </bookViews>
  <sheets>
    <sheet name="BOM" sheetId="1" r:id="rId1"/>
    <sheet name="Assump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5" i="1" l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J20" i="1" s="1"/>
  <c r="K20" i="1" l="1"/>
  <c r="L20" i="1"/>
</calcChain>
</file>

<file path=xl/sharedStrings.xml><?xml version="1.0" encoding="utf-8"?>
<sst xmlns="http://schemas.openxmlformats.org/spreadsheetml/2006/main" count="129" uniqueCount="114">
  <si>
    <t>AquaReserve - Indicative Hardware Bill of Materials</t>
  </si>
  <si>
    <t>Subsystem</t>
  </si>
  <si>
    <t>Component</t>
  </si>
  <si>
    <t>Function</t>
  </si>
  <si>
    <t>Type</t>
  </si>
  <si>
    <t>Qty Small</t>
  </si>
  <si>
    <t>Qty Medium</t>
  </si>
  <si>
    <t>Qty Large</t>
  </si>
  <si>
    <t>Total Small (AUD)</t>
  </si>
  <si>
    <t>Total Medium (AUD)</t>
  </si>
  <si>
    <t>Total Large (AUD)</t>
  </si>
  <si>
    <t>Capacitive soil-moisture probe</t>
  </si>
  <si>
    <t>Measure root-zone moisture</t>
  </si>
  <si>
    <t>COTS</t>
  </si>
  <si>
    <t>Commodity; never build</t>
  </si>
  <si>
    <t>Latching solenoid valve (50 mm)</t>
  </si>
  <si>
    <t>Open/close zone supply</t>
  </si>
  <si>
    <t>Bermad / Baccara</t>
  </si>
  <si>
    <t>Commodity</t>
  </si>
  <si>
    <t>AquaReserve control node (ESP32 + LoRa + valve driver, IP67)</t>
  </si>
  <si>
    <t>Local sensing, actuation and radio</t>
  </si>
  <si>
    <t>Assembled (custom firmware)</t>
  </si>
  <si>
    <t>Firmware is IP; custom PCB only at volume</t>
  </si>
  <si>
    <t>Solar panel + battery (node)</t>
  </si>
  <si>
    <t>Power the node off-grid</t>
  </si>
  <si>
    <t>Inline flow meter (per zone)</t>
  </si>
  <si>
    <t>Measure water delivered</t>
  </si>
  <si>
    <t>Mounting, cabling, misc + contingency</t>
  </si>
  <si>
    <t>Mount and wire the zone</t>
  </si>
  <si>
    <t>COTS assembled</t>
  </si>
  <si>
    <t>.</t>
  </si>
  <si>
    <t>Standardize into one kit</t>
  </si>
  <si>
    <t>Comms</t>
  </si>
  <si>
    <t>LoRaWAN gateway (AS923)</t>
  </si>
  <si>
    <t>Site-wide radio backhaul</t>
  </si>
  <si>
    <t>RAK / Kerlink</t>
  </si>
  <si>
    <t>Certified radio; AS923 band</t>
  </si>
  <si>
    <t>AquaReserve edge / site controller (industrial)</t>
  </si>
  <si>
    <t>Run local optimizer and coordinate zones</t>
  </si>
  <si>
    <t>Runs fallback policy when offline</t>
  </si>
  <si>
    <t>Reserve level sensor + main flow meter</t>
  </si>
  <si>
    <t>Track reserve volume and total draw</t>
  </si>
  <si>
    <t>Gateway solar/battery + weatherproof cabinet</t>
  </si>
  <si>
    <t>Power and house the central kit</t>
  </si>
  <si>
    <t>Generic</t>
  </si>
  <si>
    <t>IP-rated enclosure</t>
  </si>
  <si>
    <t>Pump VFD / soft-starter</t>
  </si>
  <si>
    <t>Modulate pump if not existing</t>
  </si>
  <si>
    <t>Many farms reuse an existing pump</t>
  </si>
  <si>
    <t>Reserve build (lined dam or tank), per ML</t>
  </si>
  <si>
    <t>The finite backup store</t>
  </si>
  <si>
    <t>COTS civil</t>
  </si>
  <si>
    <t>Often already on-farm; new-build cost. Unit is per ML. This is what smart control can substitute for.</t>
  </si>
  <si>
    <t>Installation</t>
  </si>
  <si>
    <t>Installation and commissioning</t>
  </si>
  <si>
    <t>Install labour, calibration, configuration</t>
  </si>
  <si>
    <t>Service</t>
  </si>
  <si>
    <t>lump</t>
  </si>
  <si>
    <t>-</t>
  </si>
  <si>
    <t>Scales with site complexity</t>
  </si>
  <si>
    <t>Annual operating costs (recurring, not capex)</t>
  </si>
  <si>
    <t>Software</t>
  </si>
  <si>
    <t>AquaReserve subscription (optimization + control tier)</t>
  </si>
  <si>
    <t>SaaS</t>
  </si>
  <si>
    <t>1,200 / yr per site</t>
  </si>
  <si>
    <t>Safety-critical control is never gated by the subscription</t>
  </si>
  <si>
    <t>Maintenance</t>
  </si>
  <si>
    <t>Servicing, comms and power</t>
  </si>
  <si>
    <t>Opex</t>
  </si>
  <si>
    <t>1,500 / yr per site</t>
  </si>
  <si>
    <t>Remote diagnostics reduce truck rolls</t>
  </si>
  <si>
    <t>ANNUAL SUBTOTAL</t>
  </si>
  <si>
    <t>Assemble the AquaReserve node from a COTS enclosure running our firmware; move to a custom PCB only when volume justifies the tooling cost.</t>
  </si>
  <si>
    <t>Legend</t>
  </si>
  <si>
    <t>Notes</t>
  </si>
  <si>
    <t>The reserve build usually already exists on-farm (an existing dam), which is exactly why intelligent control can substitute for extra storage capex - see the comparison and sensitivity study report.</t>
  </si>
  <si>
    <t>Safety-critical control runs on the edge node and is never gated by the subscription.</t>
  </si>
  <si>
    <t>Tiers and legend on the 'Assumptions' sheet.</t>
  </si>
  <si>
    <t>Indicative AUD, not supplier quotes - validate before use.</t>
  </si>
  <si>
    <t>Medium tier reconciles to the ~$126,000 modeled capex.</t>
  </si>
  <si>
    <t>Example Vendor / Product</t>
  </si>
  <si>
    <t>Unit Cost (AUD)</t>
  </si>
  <si>
    <t>Notes / Certification</t>
  </si>
  <si>
    <t>Water Reserve</t>
  </si>
  <si>
    <t>Pumping (Optional)</t>
  </si>
  <si>
    <t>Site Power / Enclosure</t>
  </si>
  <si>
    <t>Reserve Monitoring</t>
  </si>
  <si>
    <t>Site Control</t>
  </si>
  <si>
    <t>Zone Install Kit</t>
  </si>
  <si>
    <t>Flow Metering</t>
  </si>
  <si>
    <t>Zone Power</t>
  </si>
  <si>
    <t>Zone Control</t>
  </si>
  <si>
    <t>Soil-Moisture Sensing</t>
  </si>
  <si>
    <t>Earthworks Contractor</t>
  </si>
  <si>
    <t>AquaReserve / Certified Installer</t>
  </si>
  <si>
    <t>Ultrasonic + Mag Meter</t>
  </si>
  <si>
    <t>COTS Industrial + own Firmware</t>
  </si>
  <si>
    <t>Generic Pulse Meter</t>
  </si>
  <si>
    <t>20 W Panel + LiFePO4</t>
  </si>
  <si>
    <t>COTS Enclosure + own Firmware</t>
  </si>
  <si>
    <t>Sentek / Aquaflex / Generic</t>
  </si>
  <si>
    <t>CAPEX SUBTOTAL (One-Off)</t>
  </si>
  <si>
    <t>AquaReserve - BOM Assumptions &amp; Legend</t>
  </si>
  <si>
    <t xml:space="preserve">Disclaimer: All costs are indicative AUD for planning only, not supplier quotes. </t>
  </si>
  <si>
    <t>Confirm with vendors and an installer before use.</t>
  </si>
  <si>
    <t>Sizing Tiers</t>
  </si>
  <si>
    <t>Small  - 2 Control Zones, 10ML Reserve.</t>
  </si>
  <si>
    <t>Large  - 5 Control Zones, 40ML Reserve.</t>
  </si>
  <si>
    <t>Make vs Buy Philosophy</t>
  </si>
  <si>
    <t>Build only the genuine IP: The optimizer, the node and site-controller firmware, and the integration.</t>
  </si>
  <si>
    <t>Buy anything commoditized: Sensors, valves, flow meters, LoRaWAN gateway, pumps, solar and batteries.</t>
  </si>
  <si>
    <t>Type Column: COTS = Buy Off the Shelf; Assembled (Custom Firmware) = COTS Parts plus AquaReserve Firmware (our IP); Service / COTS Civil = Bought-in Labour or Earthworks.</t>
  </si>
  <si>
    <t>Medium - 3 Control Zones, 20ML Reserve (the Project Model Farm; Reconciles to the ~$126,000 Modeled Capex).</t>
  </si>
  <si>
    <r>
      <t xml:space="preserve">Related: </t>
    </r>
    <r>
      <rPr>
        <b/>
        <sz val="10"/>
        <rFont val="Arial"/>
        <family val="2"/>
      </rPr>
      <t>docs/PRODUCT_ROADMAP.md</t>
    </r>
    <r>
      <rPr>
        <sz val="10"/>
        <rFont val="Arial"/>
        <charset val="1"/>
      </rPr>
      <t xml:space="preserve"> and </t>
    </r>
    <r>
      <rPr>
        <b/>
        <sz val="10"/>
        <rFont val="Arial"/>
        <family val="2"/>
      </rPr>
      <t>docs/AquaReserve-Comparison-and-Sensitivity-Study.docx.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</si>
</sst>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2" x14ac:knownFonts="1">
    <font>
      <sz val="11"/>
      <color theme="1"/>
      <name val="Calibri"/>
      <family val="2"/>
      <charset val="1"/>
    </font>
    <font>
      <b/>
      <sz val="16"/>
      <color rgb="FF1F5136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10"/>
      <color rgb="FF777777"/>
      <name val="Arial"/>
      <charset val="1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5136"/>
        <bgColor rgb="FF333300"/>
      </patternFill>
    </fill>
    <fill>
      <patternFill patternType="solid">
        <fgColor rgb="FFEDEFEA"/>
        <bgColor rgb="FFFFFFFF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3">
    <xf numFmtId="0" fontId="0" fillId="0" borderId="0"/>
    <xf numFmtId="0" fontId="8" fillId="4" borderId="1" applyNumberFormat="0" applyAlignment="0" applyProtection="0"/>
    <xf numFmtId="0" fontId="9" fillId="0" borderId="2" applyNumberFormat="0" applyFill="0" applyAlignment="0" applyProtection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9" fillId="3" borderId="5" xfId="2" applyFill="1" applyBorder="1" applyAlignment="1">
      <alignment horizontal="right"/>
    </xf>
    <xf numFmtId="164" fontId="9" fillId="3" borderId="5" xfId="2" applyNumberFormat="1" applyFill="1" applyBorder="1"/>
    <xf numFmtId="0" fontId="4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6" borderId="2" xfId="2" applyFill="1"/>
    <xf numFmtId="0" fontId="9" fillId="5" borderId="5" xfId="2" applyFill="1" applyBorder="1" applyAlignment="1">
      <alignment horizontal="right" wrapText="1"/>
    </xf>
    <xf numFmtId="164" fontId="9" fillId="3" borderId="5" xfId="2" applyNumberFormat="1" applyFill="1" applyBorder="1" applyAlignment="1">
      <alignment wrapText="1"/>
    </xf>
    <xf numFmtId="0" fontId="0" fillId="0" borderId="3" xfId="0" applyBorder="1" applyAlignment="1">
      <alignment wrapText="1"/>
    </xf>
    <xf numFmtId="0" fontId="9" fillId="5" borderId="2" xfId="2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8" fillId="4" borderId="6" xfId="1" applyBorder="1" applyAlignment="1">
      <alignment wrapText="1"/>
    </xf>
    <xf numFmtId="0" fontId="4" fillId="0" borderId="3" xfId="0" applyFont="1" applyBorder="1" applyAlignment="1">
      <alignment wrapText="1"/>
    </xf>
    <xf numFmtId="0" fontId="11" fillId="0" borderId="3" xfId="0" applyFont="1" applyBorder="1" applyAlignment="1">
      <alignment horizontal="left" vertical="center" wrapText="1"/>
    </xf>
  </cellXfs>
  <cellStyles count="3">
    <cellStyle name="Normal" xfId="0" builtinId="0"/>
    <cellStyle name="Output" xfId="1" builtinId="21"/>
    <cellStyle name="Total" xfId="2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EDEF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1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pane ySplit="6" topLeftCell="A7" activePane="bottomLeft" state="frozen"/>
      <selection pane="bottomLeft" sqref="A1:M1"/>
    </sheetView>
  </sheetViews>
  <sheetFormatPr defaultColWidth="8.7109375" defaultRowHeight="15" x14ac:dyDescent="0.25"/>
  <cols>
    <col min="1" max="1" width="25.7109375" customWidth="1"/>
    <col min="2" max="2" width="40" customWidth="1"/>
    <col min="3" max="3" width="34" customWidth="1"/>
    <col min="4" max="4" width="26" customWidth="1"/>
    <col min="5" max="5" width="28" customWidth="1"/>
    <col min="6" max="6" width="15" customWidth="1"/>
    <col min="7" max="9" width="15.7109375" customWidth="1"/>
    <col min="10" max="12" width="16.7109375" customWidth="1"/>
    <col min="13" max="13" width="45.7109375" customWidth="1"/>
  </cols>
  <sheetData>
    <row r="1" spans="1:13" ht="20.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78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3" t="s">
        <v>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3" t="s">
        <v>79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spans="1:13" ht="25.5" x14ac:dyDescent="0.25">
      <c r="A6" s="8" t="s">
        <v>1</v>
      </c>
      <c r="B6" s="8" t="s">
        <v>2</v>
      </c>
      <c r="C6" s="8" t="s">
        <v>3</v>
      </c>
      <c r="D6" s="8" t="s">
        <v>4</v>
      </c>
      <c r="E6" s="8" t="s">
        <v>80</v>
      </c>
      <c r="F6" s="8" t="s">
        <v>81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82</v>
      </c>
    </row>
    <row r="7" spans="1:13" ht="27" customHeight="1" x14ac:dyDescent="0.25">
      <c r="A7" s="11" t="s">
        <v>92</v>
      </c>
      <c r="B7" s="11" t="s">
        <v>11</v>
      </c>
      <c r="C7" s="11" t="s">
        <v>12</v>
      </c>
      <c r="D7" s="11" t="s">
        <v>13</v>
      </c>
      <c r="E7" s="11" t="s">
        <v>100</v>
      </c>
      <c r="F7" s="12">
        <v>900</v>
      </c>
      <c r="G7" s="13">
        <v>2</v>
      </c>
      <c r="H7" s="13">
        <v>3</v>
      </c>
      <c r="I7" s="13">
        <v>5</v>
      </c>
      <c r="J7" s="14">
        <f t="shared" ref="J7:J18" si="0">$F7*G7</f>
        <v>1800</v>
      </c>
      <c r="K7" s="14">
        <f t="shared" ref="K7:K18" si="1">$F7*H7</f>
        <v>2700</v>
      </c>
      <c r="L7" s="14">
        <f t="shared" ref="L7:L18" si="2">$F7*I7</f>
        <v>4500</v>
      </c>
      <c r="M7" s="11" t="s">
        <v>14</v>
      </c>
    </row>
    <row r="8" spans="1:13" ht="27" customHeight="1" x14ac:dyDescent="0.25">
      <c r="A8" s="11" t="s">
        <v>91</v>
      </c>
      <c r="B8" s="11" t="s">
        <v>15</v>
      </c>
      <c r="C8" s="11" t="s">
        <v>16</v>
      </c>
      <c r="D8" s="11" t="s">
        <v>13</v>
      </c>
      <c r="E8" s="11" t="s">
        <v>17</v>
      </c>
      <c r="F8" s="12">
        <v>350</v>
      </c>
      <c r="G8" s="13">
        <v>2</v>
      </c>
      <c r="H8" s="13">
        <v>3</v>
      </c>
      <c r="I8" s="13">
        <v>5</v>
      </c>
      <c r="J8" s="14">
        <f t="shared" si="0"/>
        <v>700</v>
      </c>
      <c r="K8" s="14">
        <f t="shared" si="1"/>
        <v>1050</v>
      </c>
      <c r="L8" s="14">
        <f t="shared" si="2"/>
        <v>1750</v>
      </c>
      <c r="M8" s="11" t="s">
        <v>18</v>
      </c>
    </row>
    <row r="9" spans="1:13" ht="27" customHeight="1" x14ac:dyDescent="0.25">
      <c r="A9" s="11" t="s">
        <v>91</v>
      </c>
      <c r="B9" s="11" t="s">
        <v>19</v>
      </c>
      <c r="C9" s="11" t="s">
        <v>20</v>
      </c>
      <c r="D9" s="15" t="s">
        <v>21</v>
      </c>
      <c r="E9" s="11" t="s">
        <v>99</v>
      </c>
      <c r="F9" s="12">
        <v>700</v>
      </c>
      <c r="G9" s="13">
        <v>2</v>
      </c>
      <c r="H9" s="13">
        <v>3</v>
      </c>
      <c r="I9" s="13">
        <v>5</v>
      </c>
      <c r="J9" s="14">
        <f t="shared" si="0"/>
        <v>1400</v>
      </c>
      <c r="K9" s="14">
        <f t="shared" si="1"/>
        <v>2100</v>
      </c>
      <c r="L9" s="14">
        <f t="shared" si="2"/>
        <v>3500</v>
      </c>
      <c r="M9" s="11" t="s">
        <v>22</v>
      </c>
    </row>
    <row r="10" spans="1:13" ht="27" customHeight="1" x14ac:dyDescent="0.25">
      <c r="A10" s="11" t="s">
        <v>90</v>
      </c>
      <c r="B10" s="11" t="s">
        <v>23</v>
      </c>
      <c r="C10" s="11" t="s">
        <v>24</v>
      </c>
      <c r="D10" s="11" t="s">
        <v>13</v>
      </c>
      <c r="E10" s="11" t="s">
        <v>98</v>
      </c>
      <c r="F10" s="12">
        <v>450</v>
      </c>
      <c r="G10" s="13">
        <v>2</v>
      </c>
      <c r="H10" s="13">
        <v>3</v>
      </c>
      <c r="I10" s="13">
        <v>5</v>
      </c>
      <c r="J10" s="14">
        <f t="shared" si="0"/>
        <v>900</v>
      </c>
      <c r="K10" s="14">
        <f t="shared" si="1"/>
        <v>1350</v>
      </c>
      <c r="L10" s="14">
        <f t="shared" si="2"/>
        <v>2250</v>
      </c>
      <c r="M10" s="11" t="s">
        <v>18</v>
      </c>
    </row>
    <row r="11" spans="1:13" ht="27" customHeight="1" x14ac:dyDescent="0.25">
      <c r="A11" s="11" t="s">
        <v>89</v>
      </c>
      <c r="B11" s="11" t="s">
        <v>25</v>
      </c>
      <c r="C11" s="11" t="s">
        <v>26</v>
      </c>
      <c r="D11" s="11" t="s">
        <v>13</v>
      </c>
      <c r="E11" s="11" t="s">
        <v>97</v>
      </c>
      <c r="F11" s="12">
        <v>600</v>
      </c>
      <c r="G11" s="13">
        <v>2</v>
      </c>
      <c r="H11" s="13">
        <v>3</v>
      </c>
      <c r="I11" s="13">
        <v>5</v>
      </c>
      <c r="J11" s="14">
        <f t="shared" si="0"/>
        <v>1200</v>
      </c>
      <c r="K11" s="14">
        <f t="shared" si="1"/>
        <v>1800</v>
      </c>
      <c r="L11" s="14">
        <f t="shared" si="2"/>
        <v>3000</v>
      </c>
      <c r="M11" s="11" t="s">
        <v>18</v>
      </c>
    </row>
    <row r="12" spans="1:13" ht="27" customHeight="1" x14ac:dyDescent="0.25">
      <c r="A12" s="11" t="s">
        <v>88</v>
      </c>
      <c r="B12" s="11" t="s">
        <v>27</v>
      </c>
      <c r="C12" s="11" t="s">
        <v>28</v>
      </c>
      <c r="D12" s="11" t="s">
        <v>29</v>
      </c>
      <c r="E12" s="11" t="s">
        <v>30</v>
      </c>
      <c r="F12" s="12">
        <v>1000</v>
      </c>
      <c r="G12" s="13">
        <v>2</v>
      </c>
      <c r="H12" s="13">
        <v>3</v>
      </c>
      <c r="I12" s="13">
        <v>5</v>
      </c>
      <c r="J12" s="14">
        <f t="shared" si="0"/>
        <v>2000</v>
      </c>
      <c r="K12" s="14">
        <f t="shared" si="1"/>
        <v>3000</v>
      </c>
      <c r="L12" s="14">
        <f t="shared" si="2"/>
        <v>5000</v>
      </c>
      <c r="M12" s="11" t="s">
        <v>31</v>
      </c>
    </row>
    <row r="13" spans="1:13" ht="27" customHeight="1" x14ac:dyDescent="0.25">
      <c r="A13" s="11" t="s">
        <v>32</v>
      </c>
      <c r="B13" s="11" t="s">
        <v>33</v>
      </c>
      <c r="C13" s="11" t="s">
        <v>34</v>
      </c>
      <c r="D13" s="11" t="s">
        <v>13</v>
      </c>
      <c r="E13" s="11" t="s">
        <v>35</v>
      </c>
      <c r="F13" s="12">
        <v>2500</v>
      </c>
      <c r="G13" s="13">
        <v>1</v>
      </c>
      <c r="H13" s="13">
        <v>1</v>
      </c>
      <c r="I13" s="13">
        <v>1</v>
      </c>
      <c r="J13" s="14">
        <f t="shared" si="0"/>
        <v>2500</v>
      </c>
      <c r="K13" s="14">
        <f t="shared" si="1"/>
        <v>2500</v>
      </c>
      <c r="L13" s="14">
        <f t="shared" si="2"/>
        <v>2500</v>
      </c>
      <c r="M13" s="11" t="s">
        <v>36</v>
      </c>
    </row>
    <row r="14" spans="1:13" ht="27" customHeight="1" x14ac:dyDescent="0.25">
      <c r="A14" s="11" t="s">
        <v>87</v>
      </c>
      <c r="B14" s="11" t="s">
        <v>37</v>
      </c>
      <c r="C14" s="11" t="s">
        <v>38</v>
      </c>
      <c r="D14" s="15" t="s">
        <v>21</v>
      </c>
      <c r="E14" s="11" t="s">
        <v>96</v>
      </c>
      <c r="F14" s="12">
        <v>1500</v>
      </c>
      <c r="G14" s="13">
        <v>1</v>
      </c>
      <c r="H14" s="13">
        <v>1</v>
      </c>
      <c r="I14" s="13">
        <v>1</v>
      </c>
      <c r="J14" s="14">
        <f t="shared" si="0"/>
        <v>1500</v>
      </c>
      <c r="K14" s="14">
        <f t="shared" si="1"/>
        <v>1500</v>
      </c>
      <c r="L14" s="14">
        <f t="shared" si="2"/>
        <v>1500</v>
      </c>
      <c r="M14" s="11" t="s">
        <v>39</v>
      </c>
    </row>
    <row r="15" spans="1:13" ht="27" customHeight="1" x14ac:dyDescent="0.25">
      <c r="A15" s="11" t="s">
        <v>86</v>
      </c>
      <c r="B15" s="11" t="s">
        <v>40</v>
      </c>
      <c r="C15" s="11" t="s">
        <v>41</v>
      </c>
      <c r="D15" s="11" t="s">
        <v>13</v>
      </c>
      <c r="E15" s="11" t="s">
        <v>95</v>
      </c>
      <c r="F15" s="12">
        <v>900</v>
      </c>
      <c r="G15" s="13">
        <v>1</v>
      </c>
      <c r="H15" s="13">
        <v>1</v>
      </c>
      <c r="I15" s="13">
        <v>1</v>
      </c>
      <c r="J15" s="14">
        <f t="shared" si="0"/>
        <v>900</v>
      </c>
      <c r="K15" s="14">
        <f t="shared" si="1"/>
        <v>900</v>
      </c>
      <c r="L15" s="14">
        <f t="shared" si="2"/>
        <v>900</v>
      </c>
      <c r="M15" s="11" t="s">
        <v>18</v>
      </c>
    </row>
    <row r="16" spans="1:13" ht="27" customHeight="1" x14ac:dyDescent="0.25">
      <c r="A16" s="11" t="s">
        <v>85</v>
      </c>
      <c r="B16" s="11" t="s">
        <v>42</v>
      </c>
      <c r="C16" s="11" t="s">
        <v>43</v>
      </c>
      <c r="D16" s="11" t="s">
        <v>13</v>
      </c>
      <c r="E16" s="11" t="s">
        <v>44</v>
      </c>
      <c r="F16" s="12">
        <v>1100</v>
      </c>
      <c r="G16" s="13">
        <v>1</v>
      </c>
      <c r="H16" s="13">
        <v>1</v>
      </c>
      <c r="I16" s="13">
        <v>1</v>
      </c>
      <c r="J16" s="14">
        <f t="shared" si="0"/>
        <v>1100</v>
      </c>
      <c r="K16" s="14">
        <f t="shared" si="1"/>
        <v>1100</v>
      </c>
      <c r="L16" s="14">
        <f t="shared" si="2"/>
        <v>1100</v>
      </c>
      <c r="M16" s="11" t="s">
        <v>45</v>
      </c>
    </row>
    <row r="17" spans="1:13" ht="27" customHeight="1" x14ac:dyDescent="0.25">
      <c r="A17" s="11" t="s">
        <v>84</v>
      </c>
      <c r="B17" s="11" t="s">
        <v>46</v>
      </c>
      <c r="C17" s="11" t="s">
        <v>47</v>
      </c>
      <c r="D17" s="11" t="s">
        <v>13</v>
      </c>
      <c r="E17" s="11" t="s">
        <v>44</v>
      </c>
      <c r="F17" s="12">
        <v>3500</v>
      </c>
      <c r="G17" s="13">
        <v>0</v>
      </c>
      <c r="H17" s="13">
        <v>0</v>
      </c>
      <c r="I17" s="13">
        <v>1</v>
      </c>
      <c r="J17" s="16">
        <f t="shared" si="0"/>
        <v>0</v>
      </c>
      <c r="K17" s="16">
        <f t="shared" si="1"/>
        <v>0</v>
      </c>
      <c r="L17" s="14">
        <f t="shared" si="2"/>
        <v>3500</v>
      </c>
      <c r="M17" s="11" t="s">
        <v>48</v>
      </c>
    </row>
    <row r="18" spans="1:13" ht="27" customHeight="1" x14ac:dyDescent="0.25">
      <c r="A18" s="11" t="s">
        <v>83</v>
      </c>
      <c r="B18" s="11" t="s">
        <v>49</v>
      </c>
      <c r="C18" s="11" t="s">
        <v>50</v>
      </c>
      <c r="D18" s="11" t="s">
        <v>51</v>
      </c>
      <c r="E18" s="11" t="s">
        <v>93</v>
      </c>
      <c r="F18" s="12">
        <v>5000</v>
      </c>
      <c r="G18" s="13">
        <v>10</v>
      </c>
      <c r="H18" s="13">
        <v>20</v>
      </c>
      <c r="I18" s="13">
        <v>40</v>
      </c>
      <c r="J18" s="14">
        <f t="shared" si="0"/>
        <v>50000</v>
      </c>
      <c r="K18" s="14">
        <f t="shared" si="1"/>
        <v>100000</v>
      </c>
      <c r="L18" s="14">
        <f t="shared" si="2"/>
        <v>200000</v>
      </c>
      <c r="M18" s="11" t="s">
        <v>52</v>
      </c>
    </row>
    <row r="19" spans="1:13" ht="27" customHeight="1" x14ac:dyDescent="0.25">
      <c r="A19" s="11" t="s">
        <v>53</v>
      </c>
      <c r="B19" s="11" t="s">
        <v>54</v>
      </c>
      <c r="C19" s="11" t="s">
        <v>55</v>
      </c>
      <c r="D19" s="11" t="s">
        <v>56</v>
      </c>
      <c r="E19" s="11" t="s">
        <v>94</v>
      </c>
      <c r="F19" s="17" t="s">
        <v>57</v>
      </c>
      <c r="G19" s="18" t="s">
        <v>58</v>
      </c>
      <c r="H19" s="18" t="s">
        <v>58</v>
      </c>
      <c r="I19" s="18" t="s">
        <v>58</v>
      </c>
      <c r="J19" s="12">
        <v>6000</v>
      </c>
      <c r="K19" s="12">
        <v>8000</v>
      </c>
      <c r="L19" s="12">
        <v>12000</v>
      </c>
      <c r="M19" s="11" t="s">
        <v>59</v>
      </c>
    </row>
    <row r="20" spans="1:13" ht="15.75" thickBot="1" x14ac:dyDescent="0.3">
      <c r="A20" s="9" t="s">
        <v>101</v>
      </c>
      <c r="B20" s="9"/>
      <c r="C20" s="9"/>
      <c r="D20" s="9"/>
      <c r="E20" s="9"/>
      <c r="F20" s="9"/>
      <c r="G20" s="9"/>
      <c r="H20" s="9"/>
      <c r="I20" s="9"/>
      <c r="J20" s="10">
        <f>SUM(J7:J19)</f>
        <v>70000</v>
      </c>
      <c r="K20" s="10">
        <f>SUM(K7:K19)</f>
        <v>126000</v>
      </c>
      <c r="L20" s="10">
        <f>SUM(L7:L19)</f>
        <v>241500</v>
      </c>
      <c r="M20" s="19"/>
    </row>
    <row r="21" spans="1:13" ht="15.75" thickTop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25.5" x14ac:dyDescent="0.25">
      <c r="A22" s="15" t="s">
        <v>60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ht="27" customHeight="1" x14ac:dyDescent="0.25">
      <c r="A23" s="11" t="s">
        <v>61</v>
      </c>
      <c r="B23" s="11" t="s">
        <v>62</v>
      </c>
      <c r="C23" s="22"/>
      <c r="D23" s="11" t="s">
        <v>63</v>
      </c>
      <c r="E23" s="11" t="s">
        <v>64</v>
      </c>
      <c r="F23" s="22"/>
      <c r="G23" s="22"/>
      <c r="H23" s="22"/>
      <c r="I23" s="22"/>
      <c r="J23" s="22"/>
      <c r="K23" s="12">
        <v>1200</v>
      </c>
      <c r="L23" s="22"/>
      <c r="M23" s="11" t="s">
        <v>65</v>
      </c>
    </row>
    <row r="24" spans="1:13" ht="27" customHeight="1" x14ac:dyDescent="0.25">
      <c r="A24" s="11" t="s">
        <v>66</v>
      </c>
      <c r="B24" s="11" t="s">
        <v>67</v>
      </c>
      <c r="C24" s="22"/>
      <c r="D24" s="11" t="s">
        <v>68</v>
      </c>
      <c r="E24" s="11" t="s">
        <v>69</v>
      </c>
      <c r="F24" s="22"/>
      <c r="G24" s="22"/>
      <c r="H24" s="22"/>
      <c r="I24" s="22"/>
      <c r="J24" s="22"/>
      <c r="K24" s="12">
        <v>1500</v>
      </c>
      <c r="L24" s="22"/>
      <c r="M24" s="11" t="s">
        <v>70</v>
      </c>
    </row>
    <row r="25" spans="1:13" ht="15.75" thickBot="1" x14ac:dyDescent="0.3">
      <c r="A25" s="20" t="s">
        <v>71</v>
      </c>
      <c r="B25" s="20"/>
      <c r="C25" s="20"/>
      <c r="D25" s="20"/>
      <c r="E25" s="20"/>
      <c r="F25" s="20"/>
      <c r="G25" s="20"/>
      <c r="H25" s="20"/>
      <c r="I25" s="20"/>
      <c r="J25" s="20"/>
      <c r="K25" s="21">
        <f>SUM(K23:K24)</f>
        <v>2700</v>
      </c>
      <c r="L25" s="23"/>
      <c r="M25" s="23"/>
    </row>
    <row r="26" spans="1:13" ht="15.75" thickTop="1" x14ac:dyDescent="0.25"/>
  </sheetData>
  <mergeCells count="4">
    <mergeCell ref="A1:M1"/>
    <mergeCell ref="A2:M2"/>
    <mergeCell ref="A25:J25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20.25" x14ac:dyDescent="0.3">
      <c r="A1" s="4" t="s">
        <v>102</v>
      </c>
    </row>
    <row r="2" spans="1:1" x14ac:dyDescent="0.25">
      <c r="A2" s="5"/>
    </row>
    <row r="3" spans="1:1" x14ac:dyDescent="0.25">
      <c r="A3" s="6" t="s">
        <v>103</v>
      </c>
    </row>
    <row r="4" spans="1:1" x14ac:dyDescent="0.25">
      <c r="A4" s="6" t="s">
        <v>104</v>
      </c>
    </row>
    <row r="5" spans="1:1" x14ac:dyDescent="0.25">
      <c r="A5" s="5"/>
    </row>
    <row r="6" spans="1:1" x14ac:dyDescent="0.25">
      <c r="A6" s="25" t="s">
        <v>105</v>
      </c>
    </row>
    <row r="7" spans="1:1" ht="30" customHeight="1" x14ac:dyDescent="0.25">
      <c r="A7" s="11" t="s">
        <v>106</v>
      </c>
    </row>
    <row r="8" spans="1:1" ht="30" customHeight="1" x14ac:dyDescent="0.25">
      <c r="A8" s="11" t="s">
        <v>112</v>
      </c>
    </row>
    <row r="9" spans="1:1" ht="30" customHeight="1" x14ac:dyDescent="0.25">
      <c r="A9" s="11" t="s">
        <v>107</v>
      </c>
    </row>
    <row r="10" spans="1:1" ht="60" customHeight="1" x14ac:dyDescent="0.25">
      <c r="A10" s="24"/>
    </row>
    <row r="11" spans="1:1" x14ac:dyDescent="0.25">
      <c r="A11" s="25" t="s">
        <v>108</v>
      </c>
    </row>
    <row r="12" spans="1:1" ht="30" customHeight="1" x14ac:dyDescent="0.25">
      <c r="A12" s="11" t="s">
        <v>110</v>
      </c>
    </row>
    <row r="13" spans="1:1" ht="30" customHeight="1" x14ac:dyDescent="0.25">
      <c r="A13" s="11" t="s">
        <v>109</v>
      </c>
    </row>
    <row r="14" spans="1:1" ht="30" customHeight="1" x14ac:dyDescent="0.25">
      <c r="A14" s="11" t="s">
        <v>72</v>
      </c>
    </row>
    <row r="15" spans="1:1" ht="60" customHeight="1" x14ac:dyDescent="0.25">
      <c r="A15" s="5"/>
    </row>
    <row r="16" spans="1:1" x14ac:dyDescent="0.25">
      <c r="A16" s="25" t="s">
        <v>73</v>
      </c>
    </row>
    <row r="17" spans="1:1" ht="30" customHeight="1" x14ac:dyDescent="0.25">
      <c r="A17" s="26" t="s">
        <v>111</v>
      </c>
    </row>
    <row r="18" spans="1:1" ht="60" customHeight="1" x14ac:dyDescent="0.25">
      <c r="A18" s="6"/>
    </row>
    <row r="19" spans="1:1" x14ac:dyDescent="0.25">
      <c r="A19" s="25" t="s">
        <v>74</v>
      </c>
    </row>
    <row r="20" spans="1:1" ht="30" customHeight="1" x14ac:dyDescent="0.25">
      <c r="A20" s="11" t="s">
        <v>75</v>
      </c>
    </row>
    <row r="21" spans="1:1" ht="30" customHeight="1" x14ac:dyDescent="0.25">
      <c r="A21" s="11" t="s">
        <v>76</v>
      </c>
    </row>
    <row r="22" spans="1:1" ht="30" customHeight="1" x14ac:dyDescent="0.25">
      <c r="A22" s="27" t="s">
        <v>113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Vishant Prasad</cp:lastModifiedBy>
  <cp:revision>0</cp:revision>
  <dcterms:created xsi:type="dcterms:W3CDTF">2026-08-11T14:00:27Z</dcterms:created>
  <dcterms:modified xsi:type="dcterms:W3CDTF">2026-09-08T16:30:41Z</dcterms:modified>
  <dc:language>en-US</dc:language>
</cp:coreProperties>
</file>